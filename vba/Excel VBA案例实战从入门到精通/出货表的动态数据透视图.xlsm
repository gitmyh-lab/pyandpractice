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G:\下载资源\140.Excel VBA案例实战从入门到精通（视频自学版）\实例文件\3.实例文件（二校后）\第9章\最终文件\"/>
    </mc:Choice>
  </mc:AlternateContent>
  <bookViews>
    <workbookView xWindow="0" yWindow="15" windowWidth="12735" windowHeight="7260" activeTab="1"/>
  </bookViews>
  <sheets>
    <sheet name="Sheet1" sheetId="4" r:id="rId1"/>
    <sheet name="动态数据透视图" sheetId="14" r:id="rId2"/>
    <sheet name="出货表" sheetId="1" r:id="rId3"/>
    <sheet name="产品信息" sheetId="2" r:id="rId4"/>
    <sheet name="Sheet3" sheetId="3" r:id="rId5"/>
  </sheets>
  <functionGroups builtInGroupCount="18"/>
  <calcPr calcId="162913"/>
  <pivotCaches>
    <pivotCache cacheId="5" r:id="rId6"/>
    <pivotCache cacheId="6" r:id="rId7"/>
  </pivotCaches>
</workbook>
</file>

<file path=xl/calcChain.xml><?xml version="1.0" encoding="utf-8"?>
<calcChain xmlns="http://schemas.openxmlformats.org/spreadsheetml/2006/main">
  <c r="E20" i="1" l="1"/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3" i="1"/>
</calcChain>
</file>

<file path=xl/sharedStrings.xml><?xml version="1.0" encoding="utf-8"?>
<sst xmlns="http://schemas.openxmlformats.org/spreadsheetml/2006/main" count="95" uniqueCount="45">
  <si>
    <t>购货单位</t>
    <phoneticPr fontId="1" type="noConversion"/>
  </si>
  <si>
    <t>产品代码</t>
    <phoneticPr fontId="1" type="noConversion"/>
  </si>
  <si>
    <t>数量</t>
    <phoneticPr fontId="1" type="noConversion"/>
  </si>
  <si>
    <t>单价</t>
    <phoneticPr fontId="1" type="noConversion"/>
  </si>
  <si>
    <t>货品总额</t>
    <phoneticPr fontId="1" type="noConversion"/>
  </si>
  <si>
    <t>购货日期</t>
    <phoneticPr fontId="1" type="noConversion"/>
  </si>
  <si>
    <t>出货表</t>
    <phoneticPr fontId="1" type="noConversion"/>
  </si>
  <si>
    <t>产品信息</t>
    <phoneticPr fontId="1" type="noConversion"/>
  </si>
  <si>
    <t>产品名称</t>
    <phoneticPr fontId="1" type="noConversion"/>
  </si>
  <si>
    <t>数码相机</t>
    <phoneticPr fontId="1" type="noConversion"/>
  </si>
  <si>
    <t>电脑</t>
    <phoneticPr fontId="1" type="noConversion"/>
  </si>
  <si>
    <t>显示器</t>
    <phoneticPr fontId="1" type="noConversion"/>
  </si>
  <si>
    <t>打印机</t>
    <phoneticPr fontId="1" type="noConversion"/>
  </si>
  <si>
    <t>扫描器</t>
    <phoneticPr fontId="1" type="noConversion"/>
  </si>
  <si>
    <t>P20070123</t>
    <phoneticPr fontId="1" type="noConversion"/>
  </si>
  <si>
    <t>C20070133</t>
    <phoneticPr fontId="1" type="noConversion"/>
  </si>
  <si>
    <t>C20070142</t>
    <phoneticPr fontId="1" type="noConversion"/>
  </si>
  <si>
    <t>I20070156</t>
    <phoneticPr fontId="1" type="noConversion"/>
  </si>
  <si>
    <t>P20070160</t>
    <phoneticPr fontId="1" type="noConversion"/>
  </si>
  <si>
    <t>S20070148</t>
    <phoneticPr fontId="1" type="noConversion"/>
  </si>
  <si>
    <t>单价（元）</t>
    <phoneticPr fontId="1" type="noConversion"/>
  </si>
  <si>
    <t>洛美影楼</t>
    <phoneticPr fontId="1" type="noConversion"/>
  </si>
  <si>
    <t>摄像机</t>
    <phoneticPr fontId="1" type="noConversion"/>
  </si>
  <si>
    <t>华飞影楼</t>
    <phoneticPr fontId="1" type="noConversion"/>
  </si>
  <si>
    <t>世纪风韵</t>
    <phoneticPr fontId="1" type="noConversion"/>
  </si>
  <si>
    <t>行标签</t>
  </si>
  <si>
    <t>C20070133</t>
  </si>
  <si>
    <t>C20070142</t>
  </si>
  <si>
    <t>I20070156</t>
  </si>
  <si>
    <t>P20070123</t>
  </si>
  <si>
    <t>P20070160</t>
  </si>
  <si>
    <t>S20070148</t>
  </si>
  <si>
    <t>总计</t>
  </si>
  <si>
    <t>华飞影楼</t>
  </si>
  <si>
    <t>洛美影楼</t>
  </si>
  <si>
    <t>世纪风韵</t>
  </si>
  <si>
    <t>求和项:货品总额</t>
  </si>
  <si>
    <t>购货日期</t>
  </si>
  <si>
    <t>(全部)</t>
  </si>
  <si>
    <t>列标签</t>
  </si>
  <si>
    <t>良缘影楼</t>
  </si>
  <si>
    <t>2018/2/29</t>
    <phoneticPr fontId="1" type="noConversion"/>
  </si>
  <si>
    <t>2018/2/29</t>
    <phoneticPr fontId="1" type="noConversion"/>
  </si>
  <si>
    <t>P20070160</t>
    <phoneticPr fontId="1" type="noConversion"/>
  </si>
  <si>
    <t>良缘影楼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</si>
</sst>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&quot;￥&quot;#,##0_);[Red]\(&quot;￥&quot;#,##0\)"/>
  </numFmts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4" fontId="0" fillId="0" borderId="0" xfId="0" applyNumberFormat="1" applyAlignment="1">
      <alignment horizontal="right" vertical="center"/>
    </xf>
    <xf numFmtId="0" fontId="3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[出货表的动态数据透视图.xlsm]Sheet1!数据透视表1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view3D>
      <c:rotX val="40"/>
      <c:rotY val="4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华飞影楼</c:v>
                </c:pt>
              </c:strCache>
            </c:strRef>
          </c:tx>
          <c:invertIfNegative val="0"/>
          <c:cat>
            <c:strRef>
              <c:f>Sheet1!$A$5:$A$11</c:f>
              <c:strCache>
                <c:ptCount val="6"/>
                <c:pt idx="0">
                  <c:v>C20070133</c:v>
                </c:pt>
                <c:pt idx="1">
                  <c:v>C20070142</c:v>
                </c:pt>
                <c:pt idx="2">
                  <c:v>I20070156</c:v>
                </c:pt>
                <c:pt idx="3">
                  <c:v>P20070123</c:v>
                </c:pt>
                <c:pt idx="4">
                  <c:v>P20070160</c:v>
                </c:pt>
                <c:pt idx="5">
                  <c:v>S20070148</c:v>
                </c:pt>
              </c:strCache>
            </c:strRef>
          </c:cat>
          <c:val>
            <c:numRef>
              <c:f>Sheet1!$B$5:$B$11</c:f>
              <c:numCache>
                <c:formatCode>General</c:formatCode>
                <c:ptCount val="6"/>
                <c:pt idx="0">
                  <c:v>13500</c:v>
                </c:pt>
                <c:pt idx="1">
                  <c:v>11200</c:v>
                </c:pt>
                <c:pt idx="2">
                  <c:v>4500</c:v>
                </c:pt>
                <c:pt idx="4">
                  <c:v>4000</c:v>
                </c:pt>
                <c:pt idx="5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18-43C8-923C-539F17341828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洛美影楼</c:v>
                </c:pt>
              </c:strCache>
            </c:strRef>
          </c:tx>
          <c:invertIfNegative val="0"/>
          <c:cat>
            <c:strRef>
              <c:f>Sheet1!$A$5:$A$11</c:f>
              <c:strCache>
                <c:ptCount val="6"/>
                <c:pt idx="0">
                  <c:v>C20070133</c:v>
                </c:pt>
                <c:pt idx="1">
                  <c:v>C20070142</c:v>
                </c:pt>
                <c:pt idx="2">
                  <c:v>I20070156</c:v>
                </c:pt>
                <c:pt idx="3">
                  <c:v>P20070123</c:v>
                </c:pt>
                <c:pt idx="4">
                  <c:v>P20070160</c:v>
                </c:pt>
                <c:pt idx="5">
                  <c:v>S20070148</c:v>
                </c:pt>
              </c:strCache>
            </c:strRef>
          </c:cat>
          <c:val>
            <c:numRef>
              <c:f>Sheet1!$C$5:$C$11</c:f>
              <c:numCache>
                <c:formatCode>General</c:formatCode>
                <c:ptCount val="6"/>
                <c:pt idx="0">
                  <c:v>9000</c:v>
                </c:pt>
                <c:pt idx="1">
                  <c:v>16800</c:v>
                </c:pt>
                <c:pt idx="2">
                  <c:v>3000</c:v>
                </c:pt>
                <c:pt idx="3">
                  <c:v>7500</c:v>
                </c:pt>
                <c:pt idx="4">
                  <c:v>2000</c:v>
                </c:pt>
                <c:pt idx="5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18-43C8-923C-539F17341828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世纪风韵</c:v>
                </c:pt>
              </c:strCache>
            </c:strRef>
          </c:tx>
          <c:invertIfNegative val="0"/>
          <c:cat>
            <c:strRef>
              <c:f>Sheet1!$A$5:$A$11</c:f>
              <c:strCache>
                <c:ptCount val="6"/>
                <c:pt idx="0">
                  <c:v>C20070133</c:v>
                </c:pt>
                <c:pt idx="1">
                  <c:v>C20070142</c:v>
                </c:pt>
                <c:pt idx="2">
                  <c:v>I20070156</c:v>
                </c:pt>
                <c:pt idx="3">
                  <c:v>P20070123</c:v>
                </c:pt>
                <c:pt idx="4">
                  <c:v>P20070160</c:v>
                </c:pt>
                <c:pt idx="5">
                  <c:v>S20070148</c:v>
                </c:pt>
              </c:strCache>
            </c:strRef>
          </c:cat>
          <c:val>
            <c:numRef>
              <c:f>Sheet1!$D$5:$D$11</c:f>
              <c:numCache>
                <c:formatCode>General</c:formatCode>
                <c:ptCount val="6"/>
                <c:pt idx="0">
                  <c:v>27000</c:v>
                </c:pt>
                <c:pt idx="1">
                  <c:v>22400</c:v>
                </c:pt>
                <c:pt idx="2">
                  <c:v>9000</c:v>
                </c:pt>
                <c:pt idx="3">
                  <c:v>7500</c:v>
                </c:pt>
                <c:pt idx="4">
                  <c:v>2000</c:v>
                </c:pt>
                <c:pt idx="5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18-43C8-923C-539F17341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7756544"/>
        <c:axId val="107762432"/>
        <c:axId val="107780736"/>
      </c:bar3DChart>
      <c:catAx>
        <c:axId val="1077565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7762432"/>
        <c:crosses val="autoZero"/>
        <c:auto val="1"/>
        <c:lblAlgn val="ctr"/>
        <c:lblOffset val="100"/>
        <c:noMultiLvlLbl val="0"/>
      </c:catAx>
      <c:valAx>
        <c:axId val="10776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756544"/>
        <c:crosses val="autoZero"/>
        <c:crossBetween val="between"/>
      </c:valAx>
      <c:serAx>
        <c:axId val="107780736"/>
        <c:scaling>
          <c:orientation val="minMax"/>
        </c:scaling>
        <c:delete val="0"/>
        <c:axPos val="b"/>
        <c:majorTickMark val="out"/>
        <c:minorTickMark val="none"/>
        <c:tickLblPos val="nextTo"/>
        <c:crossAx val="107762432"/>
        <c:crosses val="autoZero"/>
      </c:ser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[出货表的动态数据透视图.xlsm]动态数据透视图!动态数据透视图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</c:pivotFmts>
    <c:view3D>
      <c:rotX val="30"/>
      <c:rotY val="3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动态数据透视图!$B$3:$B$4</c:f>
              <c:strCache>
                <c:ptCount val="1"/>
                <c:pt idx="0">
                  <c:v>华飞影楼</c:v>
                </c:pt>
              </c:strCache>
            </c:strRef>
          </c:tx>
          <c:invertIfNegative val="0"/>
          <c:cat>
            <c:strRef>
              <c:f>动态数据透视图!$A$5:$A$11</c:f>
              <c:strCache>
                <c:ptCount val="6"/>
                <c:pt idx="0">
                  <c:v>C20070133</c:v>
                </c:pt>
                <c:pt idx="1">
                  <c:v>C20070142</c:v>
                </c:pt>
                <c:pt idx="2">
                  <c:v>I20070156</c:v>
                </c:pt>
                <c:pt idx="3">
                  <c:v>P20070123</c:v>
                </c:pt>
                <c:pt idx="4">
                  <c:v>P20070160</c:v>
                </c:pt>
                <c:pt idx="5">
                  <c:v>S20070148</c:v>
                </c:pt>
              </c:strCache>
            </c:strRef>
          </c:cat>
          <c:val>
            <c:numRef>
              <c:f>动态数据透视图!$B$5:$B$11</c:f>
              <c:numCache>
                <c:formatCode>General</c:formatCode>
                <c:ptCount val="6"/>
                <c:pt idx="0">
                  <c:v>13500</c:v>
                </c:pt>
                <c:pt idx="1">
                  <c:v>11200</c:v>
                </c:pt>
                <c:pt idx="2">
                  <c:v>4500</c:v>
                </c:pt>
                <c:pt idx="4">
                  <c:v>4000</c:v>
                </c:pt>
                <c:pt idx="5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94-4D42-84FA-20B4AE975618}"/>
            </c:ext>
          </c:extLst>
        </c:ser>
        <c:ser>
          <c:idx val="1"/>
          <c:order val="1"/>
          <c:tx>
            <c:strRef>
              <c:f>动态数据透视图!$C$3:$C$4</c:f>
              <c:strCache>
                <c:ptCount val="1"/>
                <c:pt idx="0">
                  <c:v>洛美影楼</c:v>
                </c:pt>
              </c:strCache>
            </c:strRef>
          </c:tx>
          <c:invertIfNegative val="0"/>
          <c:cat>
            <c:strRef>
              <c:f>动态数据透视图!$A$5:$A$11</c:f>
              <c:strCache>
                <c:ptCount val="6"/>
                <c:pt idx="0">
                  <c:v>C20070133</c:v>
                </c:pt>
                <c:pt idx="1">
                  <c:v>C20070142</c:v>
                </c:pt>
                <c:pt idx="2">
                  <c:v>I20070156</c:v>
                </c:pt>
                <c:pt idx="3">
                  <c:v>P20070123</c:v>
                </c:pt>
                <c:pt idx="4">
                  <c:v>P20070160</c:v>
                </c:pt>
                <c:pt idx="5">
                  <c:v>S20070148</c:v>
                </c:pt>
              </c:strCache>
            </c:strRef>
          </c:cat>
          <c:val>
            <c:numRef>
              <c:f>动态数据透视图!$C$5:$C$11</c:f>
              <c:numCache>
                <c:formatCode>General</c:formatCode>
                <c:ptCount val="6"/>
                <c:pt idx="0">
                  <c:v>9000</c:v>
                </c:pt>
                <c:pt idx="1">
                  <c:v>16800</c:v>
                </c:pt>
                <c:pt idx="2">
                  <c:v>3000</c:v>
                </c:pt>
                <c:pt idx="3">
                  <c:v>7500</c:v>
                </c:pt>
                <c:pt idx="4">
                  <c:v>2000</c:v>
                </c:pt>
                <c:pt idx="5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94-4D42-84FA-20B4AE975618}"/>
            </c:ext>
          </c:extLst>
        </c:ser>
        <c:ser>
          <c:idx val="2"/>
          <c:order val="2"/>
          <c:tx>
            <c:strRef>
              <c:f>动态数据透视图!$D$3:$D$4</c:f>
              <c:strCache>
                <c:ptCount val="1"/>
                <c:pt idx="0">
                  <c:v>世纪风韵</c:v>
                </c:pt>
              </c:strCache>
            </c:strRef>
          </c:tx>
          <c:invertIfNegative val="0"/>
          <c:cat>
            <c:strRef>
              <c:f>动态数据透视图!$A$5:$A$11</c:f>
              <c:strCache>
                <c:ptCount val="6"/>
                <c:pt idx="0">
                  <c:v>C20070133</c:v>
                </c:pt>
                <c:pt idx="1">
                  <c:v>C20070142</c:v>
                </c:pt>
                <c:pt idx="2">
                  <c:v>I20070156</c:v>
                </c:pt>
                <c:pt idx="3">
                  <c:v>P20070123</c:v>
                </c:pt>
                <c:pt idx="4">
                  <c:v>P20070160</c:v>
                </c:pt>
                <c:pt idx="5">
                  <c:v>S20070148</c:v>
                </c:pt>
              </c:strCache>
            </c:strRef>
          </c:cat>
          <c:val>
            <c:numRef>
              <c:f>动态数据透视图!$D$5:$D$11</c:f>
              <c:numCache>
                <c:formatCode>General</c:formatCode>
                <c:ptCount val="6"/>
                <c:pt idx="0">
                  <c:v>27000</c:v>
                </c:pt>
                <c:pt idx="1">
                  <c:v>22400</c:v>
                </c:pt>
                <c:pt idx="2">
                  <c:v>9000</c:v>
                </c:pt>
                <c:pt idx="3">
                  <c:v>7500</c:v>
                </c:pt>
                <c:pt idx="4">
                  <c:v>2000</c:v>
                </c:pt>
                <c:pt idx="5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94-4D42-84FA-20B4AE975618}"/>
            </c:ext>
          </c:extLst>
        </c:ser>
        <c:ser>
          <c:idx val="3"/>
          <c:order val="3"/>
          <c:tx>
            <c:strRef>
              <c:f>动态数据透视图!$E$3:$E$4</c:f>
              <c:strCache>
                <c:ptCount val="1"/>
                <c:pt idx="0">
                  <c:v>良缘影楼</c:v>
                </c:pt>
              </c:strCache>
            </c:strRef>
          </c:tx>
          <c:invertIfNegative val="0"/>
          <c:cat>
            <c:strRef>
              <c:f>动态数据透视图!$A$5:$A$11</c:f>
              <c:strCache>
                <c:ptCount val="6"/>
                <c:pt idx="0">
                  <c:v>C20070133</c:v>
                </c:pt>
                <c:pt idx="1">
                  <c:v>C20070142</c:v>
                </c:pt>
                <c:pt idx="2">
                  <c:v>I20070156</c:v>
                </c:pt>
                <c:pt idx="3">
                  <c:v>P20070123</c:v>
                </c:pt>
                <c:pt idx="4">
                  <c:v>P20070160</c:v>
                </c:pt>
                <c:pt idx="5">
                  <c:v>S20070148</c:v>
                </c:pt>
              </c:strCache>
            </c:strRef>
          </c:cat>
          <c:val>
            <c:numRef>
              <c:f>动态数据透视图!$E$5:$E$11</c:f>
              <c:numCache>
                <c:formatCode>General</c:formatCode>
                <c:ptCount val="6"/>
                <c:pt idx="4">
                  <c:v>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94-4D42-84FA-20B4AE975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9105536"/>
        <c:axId val="49107712"/>
        <c:axId val="50287936"/>
      </c:bar3DChart>
      <c:catAx>
        <c:axId val="491055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9107712"/>
        <c:crosses val="autoZero"/>
        <c:auto val="1"/>
        <c:lblAlgn val="ctr"/>
        <c:lblOffset val="100"/>
        <c:noMultiLvlLbl val="0"/>
      </c:catAx>
      <c:valAx>
        <c:axId val="49107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105536"/>
        <c:crosses val="autoZero"/>
        <c:crossBetween val="between"/>
      </c:valAx>
      <c:serAx>
        <c:axId val="50287936"/>
        <c:scaling>
          <c:orientation val="minMax"/>
        </c:scaling>
        <c:delete val="0"/>
        <c:axPos val="b"/>
        <c:majorTickMark val="out"/>
        <c:minorTickMark val="none"/>
        <c:tickLblPos val="nextTo"/>
        <c:crossAx val="49107712"/>
        <c:crosses val="autoZero"/>
      </c:ser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914400</xdr:colOff>
      <xdr:row>10</xdr:row>
      <xdr:rowOff>47624</xdr:rowOff>
    </xdr:from>
    <xdr:to>
      <xdr:col>6</xdr:col>
      <xdr:colOff>438150</xdr:colOff>
      <xdr:row>28</xdr:row>
      <xdr:rowOff>9525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12</xdr:row>
      <xdr:rowOff>28575</xdr:rowOff>
    </xdr:from>
    <xdr:to>
      <xdr:col>5</xdr:col>
      <xdr:colOff>476250</xdr:colOff>
      <xdr:row>28</xdr:row>
      <xdr:rowOff>28575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3</xdr:row>
          <xdr:rowOff>95250</xdr:rowOff>
        </xdr:from>
        <xdr:to>
          <xdr:col>7</xdr:col>
          <xdr:colOff>466725</xdr:colOff>
          <xdr:row>6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创建动态数据透视图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XX" refreshedDate="39435.38515185185" createdVersion="3" refreshedVersion="3" minRefreshableVersion="3" recordCount="17">
  <cacheSource type="worksheet">
    <worksheetSource ref="A2:F19" sheet="出货表"/>
  </cacheSource>
  <cacheFields count="6">
    <cacheField name="产品代码" numFmtId="0">
      <sharedItems count="6">
        <s v="P20070123"/>
        <s v="C20070133"/>
        <s v="C20070142"/>
        <s v="I20070156"/>
        <s v="P20070160"/>
        <s v="S20070148"/>
      </sharedItems>
    </cacheField>
    <cacheField name="购货单位" numFmtId="0">
      <sharedItems count="3">
        <s v="洛美影楼"/>
        <s v="华飞影楼"/>
        <s v="世纪风韵"/>
      </sharedItems>
    </cacheField>
    <cacheField name="数量" numFmtId="0">
      <sharedItems containsSemiMixedTypes="0" containsString="0" containsNumber="1" containsInteger="1" minValue="1" maxValue="6"/>
    </cacheField>
    <cacheField name="单价" numFmtId="176">
      <sharedItems containsSemiMixedTypes="0" containsString="0" containsNumber="1" containsInteger="1" minValue="1500" maxValue="5600"/>
    </cacheField>
    <cacheField name="货品总额" numFmtId="176">
      <sharedItems containsSemiMixedTypes="0" containsString="0" containsNumber="1" containsInteger="1" minValue="1800" maxValue="27000"/>
    </cacheField>
    <cacheField name="购货日期" numFmtId="14">
      <sharedItems containsSemiMixedTypes="0" containsNonDate="0" containsDate="1" containsString="0" minDate="2007-10-20T00:00:00" maxDate="2007-11-10T00:00:00" count="6">
        <d v="2007-10-20T00:00:00"/>
        <d v="2007-10-28T00:00:00"/>
        <d v="2007-10-25T00:00:00"/>
        <d v="2007-10-29T00:00:00"/>
        <d v="2007-11-01T00:00:00"/>
        <d v="2007-11-09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l" refreshedDate="43235.70858136574" createdVersion="6" refreshedVersion="6" minRefreshableVersion="3" recordCount="18">
  <cacheSource type="worksheet">
    <worksheetSource ref="A2:F20" sheet="出货表"/>
  </cacheSource>
  <cacheFields count="6">
    <cacheField name="产品代码" numFmtId="0">
      <sharedItems count="7">
        <s v="P20070123"/>
        <s v="C20070133"/>
        <s v="C20070142"/>
        <s v="I20070156"/>
        <s v="P20070160"/>
        <s v="S20070148"/>
        <s v="P20070133" u="1"/>
      </sharedItems>
    </cacheField>
    <cacheField name="购货单位" numFmtId="0">
      <sharedItems containsBlank="1" count="5">
        <s v="洛美影楼"/>
        <s v="华飞影楼"/>
        <s v="世纪风韵"/>
        <s v="良缘影楼"/>
        <m u="1"/>
      </sharedItems>
    </cacheField>
    <cacheField name="数量" numFmtId="0">
      <sharedItems containsSemiMixedTypes="0" containsString="0" containsNumber="1" containsInteger="1" minValue="1" maxValue="6"/>
    </cacheField>
    <cacheField name="单价" numFmtId="176">
      <sharedItems containsSemiMixedTypes="0" containsString="0" containsNumber="1" containsInteger="1" minValue="1500" maxValue="5600"/>
    </cacheField>
    <cacheField name="货品总额" numFmtId="176">
      <sharedItems containsSemiMixedTypes="0" containsString="0" containsNumber="1" containsInteger="1" minValue="1800" maxValue="27000"/>
    </cacheField>
    <cacheField name="购货日期" numFmtId="14">
      <sharedItems containsDate="1" containsBlank="1" containsMixedTypes="1" minDate="2007-10-20T00:00:00" maxDate="2018-12-05T00:00:00" count="17">
        <d v="2018-01-20T00:00:00"/>
        <d v="2018-01-28T00:00:00"/>
        <d v="2018-02-25T00:00:00"/>
        <s v="2018/2/29"/>
        <d v="2018-03-01T00:00:00"/>
        <d v="2018-03-09T00:00:00"/>
        <d v="2018-04-02T00:00:00"/>
        <m u="1"/>
        <d v="2007-10-28T00:00:00" u="1"/>
        <d v="2007-10-29T00:00:00" u="1"/>
        <d v="2007-11-01T00:00:00" u="1"/>
        <d v="2007-10-20T00:00:00" u="1"/>
        <d v="2007-12-04T00:00:00" u="1"/>
        <d v="2018-03-04T00:00:00" u="1"/>
        <d v="2007-10-25T00:00:00" u="1"/>
        <d v="2018-12-04T00:00:00" u="1"/>
        <d v="2007-11-09T00:00: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  <n v="3"/>
    <n v="2500"/>
    <n v="7500"/>
    <x v="0"/>
  </r>
  <r>
    <x v="1"/>
    <x v="0"/>
    <n v="2"/>
    <n v="4500"/>
    <n v="9000"/>
    <x v="0"/>
  </r>
  <r>
    <x v="2"/>
    <x v="0"/>
    <n v="3"/>
    <n v="5600"/>
    <n v="16800"/>
    <x v="0"/>
  </r>
  <r>
    <x v="3"/>
    <x v="0"/>
    <n v="2"/>
    <n v="1500"/>
    <n v="3000"/>
    <x v="1"/>
  </r>
  <r>
    <x v="4"/>
    <x v="0"/>
    <n v="1"/>
    <n v="2000"/>
    <n v="2000"/>
    <x v="1"/>
  </r>
  <r>
    <x v="5"/>
    <x v="0"/>
    <n v="1"/>
    <n v="1800"/>
    <n v="1800"/>
    <x v="1"/>
  </r>
  <r>
    <x v="4"/>
    <x v="1"/>
    <n v="2"/>
    <n v="2000"/>
    <n v="4000"/>
    <x v="2"/>
  </r>
  <r>
    <x v="3"/>
    <x v="1"/>
    <n v="3"/>
    <n v="1500"/>
    <n v="4500"/>
    <x v="2"/>
  </r>
  <r>
    <x v="1"/>
    <x v="1"/>
    <n v="3"/>
    <n v="4500"/>
    <n v="13500"/>
    <x v="2"/>
  </r>
  <r>
    <x v="2"/>
    <x v="1"/>
    <n v="2"/>
    <n v="5600"/>
    <n v="11200"/>
    <x v="3"/>
  </r>
  <r>
    <x v="5"/>
    <x v="1"/>
    <n v="1"/>
    <n v="1800"/>
    <n v="1800"/>
    <x v="3"/>
  </r>
  <r>
    <x v="1"/>
    <x v="2"/>
    <n v="6"/>
    <n v="4500"/>
    <n v="27000"/>
    <x v="3"/>
  </r>
  <r>
    <x v="2"/>
    <x v="2"/>
    <n v="4"/>
    <n v="5600"/>
    <n v="22400"/>
    <x v="4"/>
  </r>
  <r>
    <x v="0"/>
    <x v="2"/>
    <n v="3"/>
    <n v="2500"/>
    <n v="7500"/>
    <x v="4"/>
  </r>
  <r>
    <x v="4"/>
    <x v="2"/>
    <n v="1"/>
    <n v="2000"/>
    <n v="2000"/>
    <x v="4"/>
  </r>
  <r>
    <x v="3"/>
    <x v="2"/>
    <n v="6"/>
    <n v="1500"/>
    <n v="9000"/>
    <x v="5"/>
  </r>
  <r>
    <x v="5"/>
    <x v="2"/>
    <n v="1"/>
    <n v="1800"/>
    <n v="1800"/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">
  <r>
    <x v="0"/>
    <x v="0"/>
    <n v="3"/>
    <n v="2500"/>
    <n v="7500"/>
    <x v="0"/>
  </r>
  <r>
    <x v="1"/>
    <x v="0"/>
    <n v="2"/>
    <n v="4500"/>
    <n v="9000"/>
    <x v="0"/>
  </r>
  <r>
    <x v="2"/>
    <x v="0"/>
    <n v="3"/>
    <n v="5600"/>
    <n v="16800"/>
    <x v="0"/>
  </r>
  <r>
    <x v="3"/>
    <x v="0"/>
    <n v="2"/>
    <n v="1500"/>
    <n v="3000"/>
    <x v="1"/>
  </r>
  <r>
    <x v="4"/>
    <x v="0"/>
    <n v="1"/>
    <n v="2000"/>
    <n v="2000"/>
    <x v="1"/>
  </r>
  <r>
    <x v="5"/>
    <x v="0"/>
    <n v="1"/>
    <n v="1800"/>
    <n v="1800"/>
    <x v="1"/>
  </r>
  <r>
    <x v="4"/>
    <x v="1"/>
    <n v="2"/>
    <n v="2000"/>
    <n v="4000"/>
    <x v="2"/>
  </r>
  <r>
    <x v="3"/>
    <x v="1"/>
    <n v="3"/>
    <n v="1500"/>
    <n v="4500"/>
    <x v="2"/>
  </r>
  <r>
    <x v="1"/>
    <x v="1"/>
    <n v="3"/>
    <n v="4500"/>
    <n v="13500"/>
    <x v="2"/>
  </r>
  <r>
    <x v="2"/>
    <x v="1"/>
    <n v="2"/>
    <n v="5600"/>
    <n v="11200"/>
    <x v="3"/>
  </r>
  <r>
    <x v="5"/>
    <x v="1"/>
    <n v="1"/>
    <n v="1800"/>
    <n v="1800"/>
    <x v="3"/>
  </r>
  <r>
    <x v="1"/>
    <x v="2"/>
    <n v="6"/>
    <n v="4500"/>
    <n v="27000"/>
    <x v="3"/>
  </r>
  <r>
    <x v="2"/>
    <x v="2"/>
    <n v="4"/>
    <n v="5600"/>
    <n v="22400"/>
    <x v="4"/>
  </r>
  <r>
    <x v="0"/>
    <x v="2"/>
    <n v="3"/>
    <n v="2500"/>
    <n v="7500"/>
    <x v="4"/>
  </r>
  <r>
    <x v="4"/>
    <x v="2"/>
    <n v="1"/>
    <n v="2000"/>
    <n v="2000"/>
    <x v="4"/>
  </r>
  <r>
    <x v="3"/>
    <x v="2"/>
    <n v="6"/>
    <n v="1500"/>
    <n v="9000"/>
    <x v="5"/>
  </r>
  <r>
    <x v="5"/>
    <x v="2"/>
    <n v="1"/>
    <n v="1800"/>
    <n v="1800"/>
    <x v="5"/>
  </r>
  <r>
    <x v="4"/>
    <x v="3"/>
    <n v="4"/>
    <n v="2000"/>
    <n v="800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1" cacheId="5" applyNumberFormats="0" applyBorderFormats="0" applyFontFormats="0" applyPatternFormats="0" applyAlignmentFormats="0" applyWidthHeightFormats="1" dataCaption="值" updatedVersion="3" minRefreshableVersion="3" showCalcMbrs="0" useAutoFormatting="1" itemPrintTitles="1" createdVersion="3" indent="0" outline="1" outlineData="1" multipleFieldFilters="0" chartFormat="1">
  <location ref="A3:E11" firstHeaderRow="1" firstDataRow="2" firstDataCol="1" rowPageCount="1" colPageCount="1"/>
  <pivotFields count="6">
    <pivotField axis="axisRow" showAll="0">
      <items count="7">
        <item x="1"/>
        <item x="2"/>
        <item x="3"/>
        <item x="0"/>
        <item x="4"/>
        <item x="5"/>
        <item t="default"/>
      </items>
    </pivotField>
    <pivotField axis="axisCol" showAll="0">
      <items count="4">
        <item x="1"/>
        <item x="0"/>
        <item x="2"/>
        <item t="default"/>
      </items>
    </pivotField>
    <pivotField showAll="0"/>
    <pivotField numFmtId="176" showAll="0"/>
    <pivotField dataField="1" numFmtId="176" showAll="0"/>
    <pivotField axis="axisPage" numFmtId="14" showAll="0">
      <items count="7">
        <item x="0"/>
        <item x="2"/>
        <item x="1"/>
        <item x="3"/>
        <item x="4"/>
        <item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1">
    <pageField fld="5" hier="-1"/>
  </pageFields>
  <dataFields count="1">
    <dataField name="求和项:货品总额" fld="4" baseField="0" baseItem="0"/>
  </dataFields>
  <chartFormats count="4"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动态数据透视图" cacheId="6" applyNumberFormats="0" applyBorderFormats="0" applyFontFormats="0" applyPatternFormats="0" applyAlignmentFormats="0" applyWidthHeightFormats="1" dataCaption="值" updatedVersion="6" minRefreshableVersion="3" showCalcMbrs="0" useAutoFormatting="1" itemPrintTitles="1" createdVersion="3" indent="0" outline="1" outlineData="1" multipleFieldFilters="0" chartFormat="1">
  <location ref="A3:F11" firstHeaderRow="1" firstDataRow="2" firstDataCol="1" rowPageCount="1" colPageCount="1"/>
  <pivotFields count="6">
    <pivotField axis="axisRow" showAll="0">
      <items count="8">
        <item x="1"/>
        <item x="2"/>
        <item x="3"/>
        <item x="0"/>
        <item x="4"/>
        <item x="5"/>
        <item m="1" x="6"/>
        <item t="default"/>
      </items>
    </pivotField>
    <pivotField axis="axisCol" showAll="0">
      <items count="6">
        <item x="1"/>
        <item x="0"/>
        <item x="2"/>
        <item m="1" x="4"/>
        <item x="3"/>
        <item t="default"/>
      </items>
    </pivotField>
    <pivotField showAll="0"/>
    <pivotField numFmtId="176" showAll="0"/>
    <pivotField dataField="1" numFmtId="176" showAll="0"/>
    <pivotField axis="axisPage" numFmtId="14" showAll="0">
      <items count="18">
        <item m="1" x="11"/>
        <item m="1" x="14"/>
        <item m="1" x="8"/>
        <item m="1" x="9"/>
        <item m="1" x="10"/>
        <item m="1" x="16"/>
        <item m="1" x="12"/>
        <item x="0"/>
        <item x="1"/>
        <item x="2"/>
        <item x="3"/>
        <item x="4"/>
        <item x="5"/>
        <item m="1" x="7"/>
        <item m="1" x="15"/>
        <item m="1" x="13"/>
        <item x="6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5">
    <i>
      <x/>
    </i>
    <i>
      <x v="1"/>
    </i>
    <i>
      <x v="2"/>
    </i>
    <i>
      <x v="4"/>
    </i>
    <i t="grand">
      <x/>
    </i>
  </colItems>
  <pageFields count="1">
    <pageField fld="5" hier="-1"/>
  </pageFields>
  <dataFields count="1">
    <dataField name="求和项:货品总额" fld="4" baseField="0" baseItem="0"/>
  </dataFields>
  <chartFormats count="5"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J15" sqref="J15"/>
    </sheetView>
  </sheetViews>
  <sheetFormatPr defaultRowHeight="13.5" x14ac:dyDescent="0.15"/>
  <cols>
    <col min="1" max="1" width="17.625" customWidth="1"/>
    <col min="2" max="2" width="9.75" customWidth="1"/>
    <col min="3" max="4" width="9.75" bestFit="1" customWidth="1"/>
    <col min="5" max="5" width="8.5" customWidth="1"/>
  </cols>
  <sheetData>
    <row r="1" spans="1:5" x14ac:dyDescent="0.15">
      <c r="A1" s="4" t="s">
        <v>37</v>
      </c>
      <c r="B1" t="s">
        <v>38</v>
      </c>
    </row>
    <row r="3" spans="1:5" x14ac:dyDescent="0.15">
      <c r="A3" s="4" t="s">
        <v>36</v>
      </c>
      <c r="B3" s="4" t="s">
        <v>39</v>
      </c>
    </row>
    <row r="4" spans="1:5" x14ac:dyDescent="0.15">
      <c r="A4" s="4" t="s">
        <v>25</v>
      </c>
      <c r="B4" t="s">
        <v>33</v>
      </c>
      <c r="C4" t="s">
        <v>34</v>
      </c>
      <c r="D4" t="s">
        <v>35</v>
      </c>
      <c r="E4" t="s">
        <v>32</v>
      </c>
    </row>
    <row r="5" spans="1:5" x14ac:dyDescent="0.15">
      <c r="A5" s="5" t="s">
        <v>26</v>
      </c>
      <c r="B5" s="6">
        <v>13500</v>
      </c>
      <c r="C5" s="6">
        <v>9000</v>
      </c>
      <c r="D5" s="6">
        <v>27000</v>
      </c>
      <c r="E5" s="6">
        <v>49500</v>
      </c>
    </row>
    <row r="6" spans="1:5" x14ac:dyDescent="0.15">
      <c r="A6" s="5" t="s">
        <v>27</v>
      </c>
      <c r="B6" s="6">
        <v>11200</v>
      </c>
      <c r="C6" s="6">
        <v>16800</v>
      </c>
      <c r="D6" s="6">
        <v>22400</v>
      </c>
      <c r="E6" s="6">
        <v>50400</v>
      </c>
    </row>
    <row r="7" spans="1:5" x14ac:dyDescent="0.15">
      <c r="A7" s="5" t="s">
        <v>28</v>
      </c>
      <c r="B7" s="6">
        <v>4500</v>
      </c>
      <c r="C7" s="6">
        <v>3000</v>
      </c>
      <c r="D7" s="6">
        <v>9000</v>
      </c>
      <c r="E7" s="6">
        <v>16500</v>
      </c>
    </row>
    <row r="8" spans="1:5" x14ac:dyDescent="0.15">
      <c r="A8" s="5" t="s">
        <v>29</v>
      </c>
      <c r="B8" s="6"/>
      <c r="C8" s="6">
        <v>7500</v>
      </c>
      <c r="D8" s="6">
        <v>7500</v>
      </c>
      <c r="E8" s="6">
        <v>15000</v>
      </c>
    </row>
    <row r="9" spans="1:5" x14ac:dyDescent="0.15">
      <c r="A9" s="5" t="s">
        <v>30</v>
      </c>
      <c r="B9" s="6">
        <v>4000</v>
      </c>
      <c r="C9" s="6">
        <v>2000</v>
      </c>
      <c r="D9" s="6">
        <v>2000</v>
      </c>
      <c r="E9" s="6">
        <v>8000</v>
      </c>
    </row>
    <row r="10" spans="1:5" x14ac:dyDescent="0.15">
      <c r="A10" s="5" t="s">
        <v>31</v>
      </c>
      <c r="B10" s="6">
        <v>1800</v>
      </c>
      <c r="C10" s="6">
        <v>1800</v>
      </c>
      <c r="D10" s="6">
        <v>1800</v>
      </c>
      <c r="E10" s="6">
        <v>5400</v>
      </c>
    </row>
    <row r="11" spans="1:5" x14ac:dyDescent="0.15">
      <c r="A11" s="5" t="s">
        <v>32</v>
      </c>
      <c r="B11" s="6">
        <v>35000</v>
      </c>
      <c r="C11" s="6">
        <v>40100</v>
      </c>
      <c r="D11" s="6">
        <v>69700</v>
      </c>
      <c r="E11" s="6">
        <v>144800</v>
      </c>
    </row>
  </sheetData>
  <phoneticPr fontId="1" type="noConversion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1"/>
  <sheetViews>
    <sheetView tabSelected="1" topLeftCell="A2" zoomScaleNormal="100" workbookViewId="0">
      <selection activeCell="N35" sqref="N35"/>
    </sheetView>
  </sheetViews>
  <sheetFormatPr defaultRowHeight="13.5" x14ac:dyDescent="0.15"/>
  <cols>
    <col min="1" max="1" width="17.625" bestFit="1" customWidth="1"/>
    <col min="2" max="3" width="9.75" bestFit="1" customWidth="1"/>
    <col min="4" max="5" width="9.75" customWidth="1"/>
    <col min="6" max="6" width="8.5" customWidth="1"/>
    <col min="7" max="7" width="8.5" bestFit="1" customWidth="1"/>
  </cols>
  <sheetData>
    <row r="1" spans="1:6" x14ac:dyDescent="0.15">
      <c r="A1" s="4" t="s">
        <v>37</v>
      </c>
      <c r="B1" t="s">
        <v>38</v>
      </c>
    </row>
    <row r="3" spans="1:6" x14ac:dyDescent="0.15">
      <c r="A3" s="4" t="s">
        <v>36</v>
      </c>
      <c r="B3" s="4" t="s">
        <v>39</v>
      </c>
    </row>
    <row r="4" spans="1:6" x14ac:dyDescent="0.15">
      <c r="A4" s="4" t="s">
        <v>25</v>
      </c>
      <c r="B4" t="s">
        <v>33</v>
      </c>
      <c r="C4" t="s">
        <v>34</v>
      </c>
      <c r="D4" t="s">
        <v>35</v>
      </c>
      <c r="E4" t="s">
        <v>40</v>
      </c>
      <c r="F4" t="s">
        <v>32</v>
      </c>
    </row>
    <row r="5" spans="1:6" x14ac:dyDescent="0.15">
      <c r="A5" s="5" t="s">
        <v>26</v>
      </c>
      <c r="B5" s="6">
        <v>13500</v>
      </c>
      <c r="C5" s="6">
        <v>9000</v>
      </c>
      <c r="D5" s="6">
        <v>27000</v>
      </c>
      <c r="E5" s="6"/>
      <c r="F5" s="6">
        <v>49500</v>
      </c>
    </row>
    <row r="6" spans="1:6" x14ac:dyDescent="0.15">
      <c r="A6" s="5" t="s">
        <v>27</v>
      </c>
      <c r="B6" s="6">
        <v>11200</v>
      </c>
      <c r="C6" s="6">
        <v>16800</v>
      </c>
      <c r="D6" s="6">
        <v>22400</v>
      </c>
      <c r="E6" s="6"/>
      <c r="F6" s="6">
        <v>50400</v>
      </c>
    </row>
    <row r="7" spans="1:6" x14ac:dyDescent="0.15">
      <c r="A7" s="5" t="s">
        <v>28</v>
      </c>
      <c r="B7" s="6">
        <v>4500</v>
      </c>
      <c r="C7" s="6">
        <v>3000</v>
      </c>
      <c r="D7" s="6">
        <v>9000</v>
      </c>
      <c r="E7" s="6"/>
      <c r="F7" s="6">
        <v>16500</v>
      </c>
    </row>
    <row r="8" spans="1:6" x14ac:dyDescent="0.15">
      <c r="A8" s="5" t="s">
        <v>29</v>
      </c>
      <c r="B8" s="6"/>
      <c r="C8" s="6">
        <v>7500</v>
      </c>
      <c r="D8" s="6">
        <v>7500</v>
      </c>
      <c r="E8" s="6"/>
      <c r="F8" s="6">
        <v>15000</v>
      </c>
    </row>
    <row r="9" spans="1:6" x14ac:dyDescent="0.15">
      <c r="A9" s="5" t="s">
        <v>30</v>
      </c>
      <c r="B9" s="6">
        <v>4000</v>
      </c>
      <c r="C9" s="6">
        <v>2000</v>
      </c>
      <c r="D9" s="6">
        <v>2000</v>
      </c>
      <c r="E9" s="6">
        <v>8000</v>
      </c>
      <c r="F9" s="6">
        <v>16000</v>
      </c>
    </row>
    <row r="10" spans="1:6" x14ac:dyDescent="0.15">
      <c r="A10" s="5" t="s">
        <v>31</v>
      </c>
      <c r="B10" s="6">
        <v>1800</v>
      </c>
      <c r="C10" s="6">
        <v>1800</v>
      </c>
      <c r="D10" s="6">
        <v>1800</v>
      </c>
      <c r="E10" s="6"/>
      <c r="F10" s="6">
        <v>5400</v>
      </c>
    </row>
    <row r="11" spans="1:6" x14ac:dyDescent="0.15">
      <c r="A11" s="5" t="s">
        <v>32</v>
      </c>
      <c r="B11" s="6">
        <v>35000</v>
      </c>
      <c r="C11" s="6">
        <v>40100</v>
      </c>
      <c r="D11" s="6">
        <v>69700</v>
      </c>
      <c r="E11" s="6">
        <v>8000</v>
      </c>
      <c r="F11" s="6">
        <v>152800</v>
      </c>
    </row>
  </sheetData>
  <phoneticPr fontId="1" type="noConversion"/>
  <pageMargins left="0.7" right="0.7" top="0.75" bottom="0.75" header="0.3" footer="0.3"/>
  <pageSetup orientation="portrait" horizontalDpi="300" verticalDpi="300" copies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21"/>
  <sheetViews>
    <sheetView workbookViewId="0">
      <selection activeCell="H25" sqref="H25"/>
    </sheetView>
  </sheetViews>
  <sheetFormatPr defaultRowHeight="13.5" x14ac:dyDescent="0.15"/>
  <cols>
    <col min="1" max="1" width="10.75" customWidth="1"/>
    <col min="2" max="2" width="11" customWidth="1"/>
    <col min="4" max="4" width="9.375" bestFit="1" customWidth="1"/>
    <col min="5" max="5" width="10.375" bestFit="1" customWidth="1"/>
    <col min="6" max="6" width="11.625" bestFit="1" customWidth="1"/>
    <col min="8" max="8" width="11.125" customWidth="1"/>
  </cols>
  <sheetData>
    <row r="1" spans="1:6" ht="20.25" x14ac:dyDescent="0.15">
      <c r="A1" s="8" t="s">
        <v>6</v>
      </c>
      <c r="B1" s="8"/>
      <c r="C1" s="8"/>
      <c r="D1" s="8"/>
      <c r="E1" s="8"/>
      <c r="F1" s="8"/>
    </row>
    <row r="2" spans="1:6" x14ac:dyDescent="0.15">
      <c r="A2" s="1" t="s">
        <v>1</v>
      </c>
      <c r="B2" s="1" t="s">
        <v>0</v>
      </c>
      <c r="C2" s="1" t="s">
        <v>2</v>
      </c>
      <c r="D2" s="1" t="s">
        <v>3</v>
      </c>
      <c r="E2" s="1" t="s">
        <v>4</v>
      </c>
      <c r="F2" s="1" t="s">
        <v>5</v>
      </c>
    </row>
    <row r="3" spans="1:6" x14ac:dyDescent="0.15">
      <c r="A3" t="s">
        <v>14</v>
      </c>
      <c r="B3" t="s">
        <v>21</v>
      </c>
      <c r="C3">
        <v>3</v>
      </c>
      <c r="D3" s="3">
        <v>2500</v>
      </c>
      <c r="E3" s="3">
        <f>C3*D3</f>
        <v>7500</v>
      </c>
      <c r="F3" s="2">
        <v>43120</v>
      </c>
    </row>
    <row r="4" spans="1:6" x14ac:dyDescent="0.15">
      <c r="A4" t="s">
        <v>15</v>
      </c>
      <c r="B4" t="s">
        <v>21</v>
      </c>
      <c r="C4">
        <v>2</v>
      </c>
      <c r="D4" s="3">
        <v>4500</v>
      </c>
      <c r="E4" s="3">
        <f t="shared" ref="E4:E20" si="0">C4*D4</f>
        <v>9000</v>
      </c>
      <c r="F4" s="2">
        <v>43120</v>
      </c>
    </row>
    <row r="5" spans="1:6" x14ac:dyDescent="0.15">
      <c r="A5" t="s">
        <v>16</v>
      </c>
      <c r="B5" t="s">
        <v>21</v>
      </c>
      <c r="C5">
        <v>3</v>
      </c>
      <c r="D5" s="3">
        <v>5600</v>
      </c>
      <c r="E5" s="3">
        <f t="shared" si="0"/>
        <v>16800</v>
      </c>
      <c r="F5" s="2">
        <v>43120</v>
      </c>
    </row>
    <row r="6" spans="1:6" x14ac:dyDescent="0.15">
      <c r="A6" t="s">
        <v>17</v>
      </c>
      <c r="B6" t="s">
        <v>21</v>
      </c>
      <c r="C6">
        <v>2</v>
      </c>
      <c r="D6" s="3">
        <v>1500</v>
      </c>
      <c r="E6" s="3">
        <f t="shared" si="0"/>
        <v>3000</v>
      </c>
      <c r="F6" s="2">
        <v>43128</v>
      </c>
    </row>
    <row r="7" spans="1:6" x14ac:dyDescent="0.15">
      <c r="A7" t="s">
        <v>18</v>
      </c>
      <c r="B7" t="s">
        <v>21</v>
      </c>
      <c r="C7">
        <v>1</v>
      </c>
      <c r="D7" s="3">
        <v>2000</v>
      </c>
      <c r="E7" s="3">
        <f t="shared" si="0"/>
        <v>2000</v>
      </c>
      <c r="F7" s="2">
        <v>43128</v>
      </c>
    </row>
    <row r="8" spans="1:6" x14ac:dyDescent="0.15">
      <c r="A8" t="s">
        <v>19</v>
      </c>
      <c r="B8" t="s">
        <v>21</v>
      </c>
      <c r="C8">
        <v>1</v>
      </c>
      <c r="D8" s="3">
        <v>1800</v>
      </c>
      <c r="E8" s="3">
        <f t="shared" si="0"/>
        <v>1800</v>
      </c>
      <c r="F8" s="2">
        <v>43128</v>
      </c>
    </row>
    <row r="9" spans="1:6" x14ac:dyDescent="0.15">
      <c r="A9" t="s">
        <v>18</v>
      </c>
      <c r="B9" t="s">
        <v>23</v>
      </c>
      <c r="C9">
        <v>2</v>
      </c>
      <c r="D9" s="3">
        <v>2000</v>
      </c>
      <c r="E9" s="3">
        <f t="shared" si="0"/>
        <v>4000</v>
      </c>
      <c r="F9" s="2">
        <v>43156</v>
      </c>
    </row>
    <row r="10" spans="1:6" x14ac:dyDescent="0.15">
      <c r="A10" t="s">
        <v>17</v>
      </c>
      <c r="B10" t="s">
        <v>23</v>
      </c>
      <c r="C10">
        <v>3</v>
      </c>
      <c r="D10" s="3">
        <v>1500</v>
      </c>
      <c r="E10" s="3">
        <f t="shared" si="0"/>
        <v>4500</v>
      </c>
      <c r="F10" s="2">
        <v>43156</v>
      </c>
    </row>
    <row r="11" spans="1:6" x14ac:dyDescent="0.15">
      <c r="A11" t="s">
        <v>15</v>
      </c>
      <c r="B11" t="s">
        <v>23</v>
      </c>
      <c r="C11">
        <v>3</v>
      </c>
      <c r="D11" s="3">
        <v>4500</v>
      </c>
      <c r="E11" s="3">
        <f t="shared" si="0"/>
        <v>13500</v>
      </c>
      <c r="F11" s="2">
        <v>43156</v>
      </c>
    </row>
    <row r="12" spans="1:6" x14ac:dyDescent="0.15">
      <c r="A12" t="s">
        <v>16</v>
      </c>
      <c r="B12" t="s">
        <v>23</v>
      </c>
      <c r="C12">
        <v>2</v>
      </c>
      <c r="D12" s="3">
        <v>5600</v>
      </c>
      <c r="E12" s="3">
        <f t="shared" si="0"/>
        <v>11200</v>
      </c>
      <c r="F12" s="7" t="s">
        <v>41</v>
      </c>
    </row>
    <row r="13" spans="1:6" x14ac:dyDescent="0.15">
      <c r="A13" t="s">
        <v>19</v>
      </c>
      <c r="B13" t="s">
        <v>23</v>
      </c>
      <c r="C13">
        <v>1</v>
      </c>
      <c r="D13" s="3">
        <v>1800</v>
      </c>
      <c r="E13" s="3">
        <f t="shared" si="0"/>
        <v>1800</v>
      </c>
      <c r="F13" s="7" t="s">
        <v>42</v>
      </c>
    </row>
    <row r="14" spans="1:6" x14ac:dyDescent="0.15">
      <c r="A14" t="s">
        <v>15</v>
      </c>
      <c r="B14" t="s">
        <v>24</v>
      </c>
      <c r="C14">
        <v>6</v>
      </c>
      <c r="D14" s="3">
        <v>4500</v>
      </c>
      <c r="E14" s="3">
        <f t="shared" si="0"/>
        <v>27000</v>
      </c>
      <c r="F14" s="7" t="s">
        <v>42</v>
      </c>
    </row>
    <row r="15" spans="1:6" x14ac:dyDescent="0.15">
      <c r="A15" t="s">
        <v>16</v>
      </c>
      <c r="B15" t="s">
        <v>24</v>
      </c>
      <c r="C15">
        <v>4</v>
      </c>
      <c r="D15" s="3">
        <v>5600</v>
      </c>
      <c r="E15" s="3">
        <f t="shared" si="0"/>
        <v>22400</v>
      </c>
      <c r="F15" s="2">
        <v>43160</v>
      </c>
    </row>
    <row r="16" spans="1:6" x14ac:dyDescent="0.15">
      <c r="A16" t="s">
        <v>14</v>
      </c>
      <c r="B16" t="s">
        <v>24</v>
      </c>
      <c r="C16">
        <v>3</v>
      </c>
      <c r="D16" s="3">
        <v>2500</v>
      </c>
      <c r="E16" s="3">
        <f t="shared" si="0"/>
        <v>7500</v>
      </c>
      <c r="F16" s="2">
        <v>43160</v>
      </c>
    </row>
    <row r="17" spans="1:6" x14ac:dyDescent="0.15">
      <c r="A17" t="s">
        <v>18</v>
      </c>
      <c r="B17" t="s">
        <v>24</v>
      </c>
      <c r="C17">
        <v>1</v>
      </c>
      <c r="D17" s="3">
        <v>2000</v>
      </c>
      <c r="E17" s="3">
        <f t="shared" si="0"/>
        <v>2000</v>
      </c>
      <c r="F17" s="2">
        <v>43160</v>
      </c>
    </row>
    <row r="18" spans="1:6" x14ac:dyDescent="0.15">
      <c r="A18" t="s">
        <v>17</v>
      </c>
      <c r="B18" t="s">
        <v>24</v>
      </c>
      <c r="C18">
        <v>6</v>
      </c>
      <c r="D18" s="3">
        <v>1500</v>
      </c>
      <c r="E18" s="3">
        <f t="shared" si="0"/>
        <v>9000</v>
      </c>
      <c r="F18" s="2">
        <v>43168</v>
      </c>
    </row>
    <row r="19" spans="1:6" x14ac:dyDescent="0.15">
      <c r="A19" t="s">
        <v>19</v>
      </c>
      <c r="B19" t="s">
        <v>24</v>
      </c>
      <c r="C19">
        <v>1</v>
      </c>
      <c r="D19" s="3">
        <v>1800</v>
      </c>
      <c r="E19" s="3">
        <f t="shared" si="0"/>
        <v>1800</v>
      </c>
      <c r="F19" s="2">
        <v>43168</v>
      </c>
    </row>
    <row r="20" spans="1:6" x14ac:dyDescent="0.15">
      <c r="A20" t="s">
        <v>43</v>
      </c>
      <c r="B20" t="s">
        <v>44</v>
      </c>
      <c r="C20">
        <v>4</v>
      </c>
      <c r="D20" s="3">
        <v>2000</v>
      </c>
      <c r="E20" s="3">
        <f t="shared" si="0"/>
        <v>8000</v>
      </c>
      <c r="F20" s="2">
        <v>43192</v>
      </c>
    </row>
    <row r="21" spans="1:6" x14ac:dyDescent="0.15">
      <c r="D21" s="3"/>
      <c r="E21" s="3"/>
      <c r="F21" s="2"/>
    </row>
  </sheetData>
  <mergeCells count="1">
    <mergeCell ref="A1:F1"/>
  </mergeCells>
  <phoneticPr fontId="1" type="noConversion"/>
  <pageMargins left="0.7" right="0.7" top="0.75" bottom="0.75" header="0.3" footer="0.3"/>
  <pageSetup orientation="portrait" horizontalDpi="300" verticalDpi="3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动态数据透视图">
                <anchor moveWithCells="1" sizeWithCells="1">
                  <from>
                    <xdr:col>6</xdr:col>
                    <xdr:colOff>200025</xdr:colOff>
                    <xdr:row>3</xdr:row>
                    <xdr:rowOff>95250</xdr:rowOff>
                  </from>
                  <to>
                    <xdr:col>7</xdr:col>
                    <xdr:colOff>466725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workbookViewId="0">
      <selection activeCell="E18" sqref="E18"/>
    </sheetView>
  </sheetViews>
  <sheetFormatPr defaultRowHeight="13.5" x14ac:dyDescent="0.15"/>
  <cols>
    <col min="1" max="1" width="11" customWidth="1"/>
    <col min="2" max="3" width="11.5" customWidth="1"/>
  </cols>
  <sheetData>
    <row r="1" spans="1:3" ht="20.25" x14ac:dyDescent="0.15">
      <c r="A1" s="8" t="s">
        <v>7</v>
      </c>
      <c r="B1" s="8"/>
      <c r="C1" s="8"/>
    </row>
    <row r="2" spans="1:3" x14ac:dyDescent="0.15">
      <c r="A2" s="1" t="s">
        <v>8</v>
      </c>
      <c r="B2" s="1" t="s">
        <v>1</v>
      </c>
      <c r="C2" s="1" t="s">
        <v>20</v>
      </c>
    </row>
    <row r="3" spans="1:3" x14ac:dyDescent="0.15">
      <c r="A3" t="s">
        <v>9</v>
      </c>
      <c r="B3" t="s">
        <v>14</v>
      </c>
      <c r="C3">
        <v>2500</v>
      </c>
    </row>
    <row r="4" spans="1:3" x14ac:dyDescent="0.15">
      <c r="A4" t="s">
        <v>10</v>
      </c>
      <c r="B4" t="s">
        <v>15</v>
      </c>
      <c r="C4">
        <v>4500</v>
      </c>
    </row>
    <row r="5" spans="1:3" x14ac:dyDescent="0.15">
      <c r="A5" t="s">
        <v>22</v>
      </c>
      <c r="B5" t="s">
        <v>16</v>
      </c>
      <c r="C5">
        <v>5600</v>
      </c>
    </row>
    <row r="6" spans="1:3" x14ac:dyDescent="0.15">
      <c r="A6" t="s">
        <v>11</v>
      </c>
      <c r="B6" t="s">
        <v>17</v>
      </c>
      <c r="C6">
        <v>1500</v>
      </c>
    </row>
    <row r="7" spans="1:3" x14ac:dyDescent="0.15">
      <c r="A7" t="s">
        <v>12</v>
      </c>
      <c r="B7" t="s">
        <v>18</v>
      </c>
      <c r="C7">
        <v>2000</v>
      </c>
    </row>
    <row r="8" spans="1:3" x14ac:dyDescent="0.15">
      <c r="A8" t="s">
        <v>13</v>
      </c>
      <c r="B8" t="s">
        <v>19</v>
      </c>
      <c r="C8">
        <v>1800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动态数据透视图</vt:lpstr>
      <vt:lpstr>出货表</vt:lpstr>
      <vt:lpstr>产品信息</vt:lpstr>
      <vt:lpstr>Sheet3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XX</dc:creator>
  <cp:lastModifiedBy>HP01</cp:lastModifiedBy>
  <dcterms:created xsi:type="dcterms:W3CDTF">2007-12-18T03:59:00Z</dcterms:created>
  <dcterms:modified xsi:type="dcterms:W3CDTF">2018-09-13T06:31:28Z</dcterms:modified>
</cp:coreProperties>
</file>